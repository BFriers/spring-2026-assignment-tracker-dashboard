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er" sheetId="1" r:id="rId5"/>
    <sheet state="visible" name="Formulas" sheetId="2" r:id="rId6"/>
  </sheets>
  <definedNames/>
  <calcPr/>
</workbook>
</file>

<file path=xl/sharedStrings.xml><?xml version="1.0" encoding="utf-8"?>
<sst xmlns="http://schemas.openxmlformats.org/spreadsheetml/2006/main" count="136" uniqueCount="48">
  <si>
    <r>
      <rPr>
        <rFont val="Spicy Rice"/>
        <color rgb="FFEA0896"/>
        <sz val="30.0"/>
      </rPr>
      <t>ASSIGNMENT</t>
    </r>
    <r>
      <rPr>
        <rFont val="Spicy Rice"/>
        <color theme="1"/>
        <sz val="30.0"/>
      </rPr>
      <t xml:space="preserve"> </t>
    </r>
    <r>
      <rPr>
        <rFont val="Spicy Rice"/>
        <color rgb="FFF496C9"/>
        <sz val="30.0"/>
      </rPr>
      <t>TRACKER</t>
    </r>
  </si>
  <si>
    <t>By: Brittany Frierson</t>
  </si>
  <si>
    <t>CLASS</t>
  </si>
  <si>
    <t>ASSIGNMENT</t>
  </si>
  <si>
    <t>STATUS</t>
  </si>
  <si>
    <t>PRIORITY</t>
  </si>
  <si>
    <t>DUE</t>
  </si>
  <si>
    <t>DAYS TILL DUE</t>
  </si>
  <si>
    <t>Organizational Behavior &amp; Theory</t>
  </si>
  <si>
    <t>Syllabus Agreement Message (Blackboard)</t>
  </si>
  <si>
    <t>Complete</t>
  </si>
  <si>
    <t>Low</t>
  </si>
  <si>
    <t>Statistics &amp; Quantitative Methods</t>
  </si>
  <si>
    <t>Syllabus Agreement Quiz</t>
  </si>
  <si>
    <t>Info System Analysis and Design</t>
  </si>
  <si>
    <t>Quiz #1:Chapters 1-2</t>
  </si>
  <si>
    <t>Homework #1A</t>
  </si>
  <si>
    <t>Homework #1B</t>
  </si>
  <si>
    <t>Quiz #2: Chapters 2-3</t>
  </si>
  <si>
    <r>
      <rPr>
        <rFont val="Arial"/>
        <b/>
        <color theme="1"/>
      </rPr>
      <t xml:space="preserve">TEST #1: </t>
    </r>
    <r>
      <rPr>
        <rFont val="Arial"/>
        <b val="0"/>
        <color theme="1"/>
      </rPr>
      <t>Unit 1</t>
    </r>
  </si>
  <si>
    <t>High</t>
  </si>
  <si>
    <t>Homework #1: Chapter 3</t>
  </si>
  <si>
    <r>
      <rPr>
        <rFont val="Arial"/>
        <b/>
        <color theme="1"/>
      </rPr>
      <t>TEST #1</t>
    </r>
    <r>
      <rPr>
        <rFont val="Arial"/>
        <color theme="1"/>
      </rPr>
      <t>: Chapters 1-3</t>
    </r>
  </si>
  <si>
    <t>Homework #2: Chapter 3</t>
  </si>
  <si>
    <t>Homework #2A</t>
  </si>
  <si>
    <t>Homework #2B</t>
  </si>
  <si>
    <t>Not Started</t>
  </si>
  <si>
    <t>Quiz #2: Chapters 3-4</t>
  </si>
  <si>
    <r>
      <rPr>
        <rFont val="Arial"/>
        <b/>
        <color theme="1"/>
      </rPr>
      <t xml:space="preserve">TEST #2: </t>
    </r>
    <r>
      <rPr>
        <rFont val="Arial"/>
        <color theme="1"/>
      </rPr>
      <t>Chapters 3, 4, &amp; 6</t>
    </r>
  </si>
  <si>
    <r>
      <rPr>
        <rFont val="Arial"/>
        <b/>
        <color theme="1"/>
      </rPr>
      <t xml:space="preserve">TEST #2: </t>
    </r>
    <r>
      <rPr>
        <rFont val="Arial"/>
        <b val="0"/>
        <color theme="1"/>
      </rPr>
      <t>Unit 2</t>
    </r>
  </si>
  <si>
    <t>Quiz #3: Chapters5-6</t>
  </si>
  <si>
    <t>Homework #3A</t>
  </si>
  <si>
    <t>Quiz #3: Chapters 7-9</t>
  </si>
  <si>
    <t>Homework #3B</t>
  </si>
  <si>
    <t>Quiz #4: Chapters 10-11</t>
  </si>
  <si>
    <r>
      <rPr>
        <rFont val="Arial"/>
        <b/>
        <color theme="1"/>
      </rPr>
      <t xml:space="preserve">TEST #3: </t>
    </r>
    <r>
      <rPr>
        <rFont val="Arial"/>
        <b val="0"/>
        <color theme="1"/>
      </rPr>
      <t>Unit 3</t>
    </r>
  </si>
  <si>
    <r>
      <rPr>
        <rFont val="Arial"/>
        <b/>
        <color theme="1"/>
      </rPr>
      <t xml:space="preserve">TEST #3: </t>
    </r>
    <r>
      <rPr>
        <rFont val="Arial"/>
        <b val="0"/>
        <color theme="1"/>
      </rPr>
      <t>Chapters 7-12</t>
    </r>
  </si>
  <si>
    <t>Quiz #4: Chapter 12</t>
  </si>
  <si>
    <t>Quiz #5: Chapter 13</t>
  </si>
  <si>
    <t>Homework #4A</t>
  </si>
  <si>
    <t>Homework #4B</t>
  </si>
  <si>
    <t>Quiz #5: Chapter 16</t>
  </si>
  <si>
    <r>
      <rPr>
        <rFont val="Arial"/>
        <b/>
        <color theme="1"/>
      </rPr>
      <t xml:space="preserve">FINAL TEST #4: </t>
    </r>
    <r>
      <rPr>
        <rFont val="Arial"/>
        <b val="0"/>
        <color theme="1"/>
      </rPr>
      <t>Chapter 13, 14 &amp; 16</t>
    </r>
  </si>
  <si>
    <t>FINAL EXAM/ TEST 4</t>
  </si>
  <si>
    <t>Assignment Status</t>
  </si>
  <si>
    <t>Started</t>
  </si>
  <si>
    <t>Need Help</t>
  </si>
  <si>
    <t>Priority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</si>
</sst>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sz val="30.0"/>
      <color theme="1"/>
      <name val="Spicy Rice"/>
    </font>
    <font>
      <sz val="13.0"/>
      <color theme="1"/>
      <name val="Spicy Rice"/>
    </font>
    <font>
      <color theme="1"/>
      <name val="Amarante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center"/>
    </xf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664B3"/>
          <bgColor rgb="FFF664B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0F9"/>
          <bgColor rgb="FFFFF0F9"/>
        </patternFill>
      </fill>
      <border/>
    </dxf>
    <dxf>
      <border>
        <left style="thin">
          <color rgb="FFF664B3"/>
        </left>
        <right style="thin">
          <color rgb="FFF664B3"/>
        </right>
        <top style="thin">
          <color rgb="FFF664B3"/>
        </top>
        <bottom style="thin">
          <color rgb="FFF664B3"/>
        </bottom>
      </border>
    </dxf>
    <dxf>
      <font>
        <b/>
        <color rgb="FFFFFFFF"/>
      </font>
      <fill>
        <patternFill patternType="solid">
          <fgColor rgb="FFF66D6D"/>
          <bgColor rgb="FFF66D6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1"/>
      </font>
      <fill>
        <patternFill patternType="solid">
          <fgColor rgb="FF93C47D"/>
          <bgColor rgb="FF93C47D"/>
        </patternFill>
      </fill>
      <border/>
    </dxf>
    <dxf>
      <font>
        <color theme="0"/>
      </font>
      <fill>
        <patternFill patternType="solid">
          <fgColor rgb="FFEF0000"/>
          <bgColor rgb="FFEF0000"/>
        </patternFill>
      </fill>
      <border/>
    </dxf>
    <dxf>
      <font>
        <b/>
        <color rgb="FFEF0000"/>
      </font>
      <fill>
        <patternFill patternType="solid">
          <fgColor rgb="FFF4CCCC"/>
          <bgColor rgb="FFF4CCCC"/>
        </patternFill>
      </fill>
      <border/>
    </dxf>
  </dxfs>
  <tableStyles count="1">
    <tableStyle count="4" pivot="0" name="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EA0896"/>
                </a:solidFill>
                <a:latin typeface="Courier New"/>
              </a:defRPr>
            </a:pPr>
            <a:r>
              <a:rPr b="0">
                <a:solidFill>
                  <a:srgbClr val="EA0896"/>
                </a:solidFill>
                <a:latin typeface="Courier New"/>
              </a:rPr>
              <a:t>Assignment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Formulas!$B$1</c:f>
            </c:strRef>
          </c:tx>
          <c:dPt>
            <c:idx val="0"/>
            <c:spPr>
              <a:solidFill>
                <a:srgbClr val="D9D9D9"/>
              </a:solidFill>
            </c:spPr>
          </c:dPt>
          <c:dPt>
            <c:idx val="1"/>
            <c:spPr>
              <a:solidFill>
                <a:srgbClr val="A4C2F4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explosion val="0"/>
            <c:spPr>
              <a:solidFill>
                <a:srgbClr val="F66D6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Formulas!$A$2:$A$5</c:f>
            </c:strRef>
          </c:cat>
          <c:val>
            <c:numRef>
              <c:f>Formulas!$B$2:$B$5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urier New"/>
            </a:defRPr>
          </a:pPr>
        </a:p>
      </c:txPr>
    </c:legend>
    <c:plotVisOnly val="1"/>
  </c:chart>
  <c:spPr>
    <a:solidFill>
      <a:srgbClr val="FFF0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1</xdr:row>
      <xdr:rowOff>276225</xdr:rowOff>
    </xdr:from>
    <xdr:ext cx="5848350" cy="3695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01" displayName="Table1" name="Table1" id="1">
  <tableColumns count="6">
    <tableColumn name="CLASS" id="1"/>
    <tableColumn name="ASSIGNMENT" id="2"/>
    <tableColumn name="STATUS" id="3"/>
    <tableColumn name="PRIORITY" id="4"/>
    <tableColumn name="DUE" id="5"/>
    <tableColumn name="DAYS TILL DUE" id="6"/>
  </tableColumns>
  <tableStyleInfo name="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6.25"/>
    <col customWidth="1" min="3" max="3" width="14.63"/>
    <col customWidth="1" min="4" max="4" width="12.88"/>
    <col customWidth="1" min="6" max="6" width="16.75"/>
    <col customWidth="1" min="7" max="7" width="14.88"/>
    <col customWidth="1" min="10" max="10" width="25.38"/>
  </cols>
  <sheetData>
    <row r="1">
      <c r="A1" s="1" t="s">
        <v>0</v>
      </c>
      <c r="C1" s="2" t="s">
        <v>1</v>
      </c>
      <c r="E1" s="3"/>
      <c r="F1" s="4"/>
      <c r="G1" s="4"/>
    </row>
    <row r="2">
      <c r="A2" s="5"/>
      <c r="B2" s="5"/>
      <c r="C2" s="5"/>
      <c r="D2" s="5"/>
      <c r="E2" s="6"/>
      <c r="F2" s="5"/>
    </row>
    <row r="3" ht="22.5" customHeight="1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7" t="s">
        <v>7</v>
      </c>
    </row>
    <row r="4" ht="22.5" customHeight="1">
      <c r="A4" s="9" t="s">
        <v>8</v>
      </c>
      <c r="B4" s="10" t="s">
        <v>9</v>
      </c>
      <c r="C4" s="9" t="s">
        <v>10</v>
      </c>
      <c r="D4" s="9" t="s">
        <v>11</v>
      </c>
      <c r="E4" s="11">
        <v>44939.0</v>
      </c>
      <c r="F4" s="7" t="str">
        <f t="shared" ref="F4:F101" si="1">IF(ISBLANK(E4),"",IF(C4="Complete","Complete",IF(E4-TODAY()&lt;0,"Overdue",IF(E4-TODAY()=0,"DUE TODAY",E4-TODAY()))))</f>
        <v>Complete</v>
      </c>
    </row>
    <row r="5" ht="22.5" customHeight="1">
      <c r="A5" s="9" t="s">
        <v>12</v>
      </c>
      <c r="B5" s="10" t="s">
        <v>13</v>
      </c>
      <c r="C5" s="9" t="s">
        <v>10</v>
      </c>
      <c r="D5" s="9" t="s">
        <v>11</v>
      </c>
      <c r="E5" s="11">
        <v>46035.0</v>
      </c>
      <c r="F5" s="7" t="str">
        <f t="shared" si="1"/>
        <v>Complete</v>
      </c>
    </row>
    <row r="6" ht="22.5" customHeight="1">
      <c r="A6" s="9" t="s">
        <v>14</v>
      </c>
      <c r="B6" s="10" t="s">
        <v>15</v>
      </c>
      <c r="C6" s="9" t="s">
        <v>10</v>
      </c>
      <c r="D6" s="9" t="s">
        <v>11</v>
      </c>
      <c r="E6" s="11">
        <v>46044.0</v>
      </c>
      <c r="F6" s="7" t="str">
        <f t="shared" si="1"/>
        <v>Complete</v>
      </c>
    </row>
    <row r="7" ht="22.5" customHeight="1">
      <c r="A7" s="9" t="s">
        <v>12</v>
      </c>
      <c r="B7" s="10" t="s">
        <v>16</v>
      </c>
      <c r="C7" s="9" t="s">
        <v>10</v>
      </c>
      <c r="D7" s="9" t="s">
        <v>11</v>
      </c>
      <c r="E7" s="11">
        <v>46045.0</v>
      </c>
      <c r="F7" s="7" t="str">
        <f t="shared" si="1"/>
        <v>Complete</v>
      </c>
    </row>
    <row r="8" ht="22.5" customHeight="1">
      <c r="A8" s="9" t="s">
        <v>12</v>
      </c>
      <c r="B8" s="10" t="s">
        <v>17</v>
      </c>
      <c r="C8" s="9" t="s">
        <v>10</v>
      </c>
      <c r="D8" s="9" t="s">
        <v>11</v>
      </c>
      <c r="E8" s="11">
        <v>46057.0</v>
      </c>
      <c r="F8" s="7" t="str">
        <f t="shared" si="1"/>
        <v>Complete</v>
      </c>
    </row>
    <row r="9" ht="22.5" customHeight="1">
      <c r="A9" s="9" t="s">
        <v>14</v>
      </c>
      <c r="B9" s="10" t="s">
        <v>18</v>
      </c>
      <c r="C9" s="9" t="s">
        <v>10</v>
      </c>
      <c r="D9" s="9" t="s">
        <v>11</v>
      </c>
      <c r="E9" s="11">
        <v>46058.0</v>
      </c>
      <c r="F9" s="7" t="str">
        <f t="shared" si="1"/>
        <v>Complete</v>
      </c>
    </row>
    <row r="10" ht="22.5" customHeight="1">
      <c r="A10" s="9" t="s">
        <v>12</v>
      </c>
      <c r="B10" s="12" t="s">
        <v>19</v>
      </c>
      <c r="C10" s="9" t="s">
        <v>10</v>
      </c>
      <c r="D10" s="9" t="s">
        <v>20</v>
      </c>
      <c r="E10" s="11">
        <v>46063.0</v>
      </c>
      <c r="F10" s="7" t="str">
        <f t="shared" si="1"/>
        <v>Complete</v>
      </c>
    </row>
    <row r="11" ht="22.5" customHeight="1">
      <c r="A11" s="9" t="s">
        <v>8</v>
      </c>
      <c r="B11" s="10" t="s">
        <v>15</v>
      </c>
      <c r="C11" s="9" t="s">
        <v>10</v>
      </c>
      <c r="D11" s="9" t="s">
        <v>11</v>
      </c>
      <c r="E11" s="11">
        <v>46063.0</v>
      </c>
      <c r="F11" s="7" t="str">
        <f t="shared" si="1"/>
        <v>Complete</v>
      </c>
    </row>
    <row r="12" ht="22.5" customHeight="1">
      <c r="A12" s="9" t="s">
        <v>14</v>
      </c>
      <c r="B12" s="10" t="s">
        <v>21</v>
      </c>
      <c r="C12" s="9" t="s">
        <v>10</v>
      </c>
      <c r="D12" s="9" t="s">
        <v>11</v>
      </c>
      <c r="E12" s="11">
        <v>46065.0</v>
      </c>
      <c r="F12" s="7" t="str">
        <f t="shared" si="1"/>
        <v>Complete</v>
      </c>
    </row>
    <row r="13" ht="22.5" customHeight="1">
      <c r="A13" s="9" t="s">
        <v>14</v>
      </c>
      <c r="B13" s="10" t="s">
        <v>22</v>
      </c>
      <c r="C13" s="9" t="s">
        <v>10</v>
      </c>
      <c r="D13" s="9" t="s">
        <v>20</v>
      </c>
      <c r="E13" s="11">
        <v>46066.0</v>
      </c>
      <c r="F13" s="7" t="str">
        <f t="shared" si="1"/>
        <v>Complete</v>
      </c>
    </row>
    <row r="14" ht="22.5" customHeight="1">
      <c r="A14" s="9" t="s">
        <v>14</v>
      </c>
      <c r="B14" s="10" t="s">
        <v>23</v>
      </c>
      <c r="C14" s="9" t="s">
        <v>10</v>
      </c>
      <c r="D14" s="9" t="s">
        <v>11</v>
      </c>
      <c r="E14" s="11">
        <v>46072.0</v>
      </c>
      <c r="F14" s="7" t="str">
        <f t="shared" si="1"/>
        <v>Complete</v>
      </c>
    </row>
    <row r="15" ht="22.5" customHeight="1">
      <c r="A15" s="9" t="s">
        <v>12</v>
      </c>
      <c r="B15" s="10" t="s">
        <v>24</v>
      </c>
      <c r="C15" s="9" t="s">
        <v>10</v>
      </c>
      <c r="D15" s="9" t="s">
        <v>11</v>
      </c>
      <c r="E15" s="11">
        <v>46073.0</v>
      </c>
      <c r="F15" s="7" t="str">
        <f t="shared" si="1"/>
        <v>Complete</v>
      </c>
    </row>
    <row r="16" ht="22.5" customHeight="1">
      <c r="A16" s="9" t="s">
        <v>12</v>
      </c>
      <c r="B16" s="10" t="s">
        <v>25</v>
      </c>
      <c r="C16" s="9" t="s">
        <v>26</v>
      </c>
      <c r="D16" s="9" t="s">
        <v>11</v>
      </c>
      <c r="E16" s="11">
        <v>46080.0</v>
      </c>
      <c r="F16" s="7">
        <f t="shared" si="1"/>
        <v>4</v>
      </c>
    </row>
    <row r="17" ht="22.5" customHeight="1">
      <c r="A17" s="9" t="s">
        <v>8</v>
      </c>
      <c r="B17" s="10" t="s">
        <v>27</v>
      </c>
      <c r="C17" s="9" t="s">
        <v>26</v>
      </c>
      <c r="D17" s="9" t="s">
        <v>11</v>
      </c>
      <c r="E17" s="11">
        <v>46085.0</v>
      </c>
      <c r="F17" s="7">
        <f t="shared" si="1"/>
        <v>9</v>
      </c>
    </row>
    <row r="18" ht="22.5" customHeight="1">
      <c r="A18" s="9" t="s">
        <v>14</v>
      </c>
      <c r="B18" s="10" t="s">
        <v>28</v>
      </c>
      <c r="C18" s="9" t="s">
        <v>26</v>
      </c>
      <c r="D18" s="9" t="s">
        <v>20</v>
      </c>
      <c r="E18" s="11">
        <v>46086.0</v>
      </c>
      <c r="F18" s="7">
        <f t="shared" si="1"/>
        <v>10</v>
      </c>
    </row>
    <row r="19" ht="22.5" customHeight="1">
      <c r="A19" s="9" t="s">
        <v>12</v>
      </c>
      <c r="B19" s="12" t="s">
        <v>29</v>
      </c>
      <c r="C19" s="9" t="s">
        <v>26</v>
      </c>
      <c r="D19" s="9" t="s">
        <v>20</v>
      </c>
      <c r="E19" s="11">
        <v>46086.0</v>
      </c>
      <c r="F19" s="7">
        <f t="shared" si="1"/>
        <v>10</v>
      </c>
    </row>
    <row r="20" ht="22.5" customHeight="1">
      <c r="A20" s="9" t="s">
        <v>8</v>
      </c>
      <c r="B20" s="10" t="s">
        <v>30</v>
      </c>
      <c r="C20" s="9" t="s">
        <v>26</v>
      </c>
      <c r="D20" s="9" t="s">
        <v>11</v>
      </c>
      <c r="E20" s="11">
        <v>46104.0</v>
      </c>
      <c r="F20" s="7">
        <f t="shared" si="1"/>
        <v>28</v>
      </c>
    </row>
    <row r="21" ht="22.5" customHeight="1">
      <c r="A21" s="9" t="s">
        <v>12</v>
      </c>
      <c r="B21" s="10" t="s">
        <v>31</v>
      </c>
      <c r="C21" s="9" t="s">
        <v>26</v>
      </c>
      <c r="D21" s="9" t="s">
        <v>11</v>
      </c>
      <c r="E21" s="11">
        <v>46106.0</v>
      </c>
      <c r="F21" s="7">
        <f t="shared" si="1"/>
        <v>30</v>
      </c>
    </row>
    <row r="22" ht="22.5" customHeight="1">
      <c r="A22" s="9" t="s">
        <v>14</v>
      </c>
      <c r="B22" s="10" t="s">
        <v>32</v>
      </c>
      <c r="C22" s="9" t="s">
        <v>26</v>
      </c>
      <c r="D22" s="9" t="s">
        <v>11</v>
      </c>
      <c r="E22" s="11">
        <v>46107.0</v>
      </c>
      <c r="F22" s="7">
        <f t="shared" si="1"/>
        <v>31</v>
      </c>
    </row>
    <row r="23" ht="22.5" customHeight="1">
      <c r="A23" s="9" t="s">
        <v>12</v>
      </c>
      <c r="B23" s="10" t="s">
        <v>33</v>
      </c>
      <c r="C23" s="9" t="s">
        <v>26</v>
      </c>
      <c r="D23" s="9" t="s">
        <v>11</v>
      </c>
      <c r="E23" s="11">
        <v>46113.0</v>
      </c>
      <c r="F23" s="7">
        <f t="shared" si="1"/>
        <v>37</v>
      </c>
    </row>
    <row r="24" ht="22.5" customHeight="1">
      <c r="A24" s="9" t="s">
        <v>14</v>
      </c>
      <c r="B24" s="10" t="s">
        <v>34</v>
      </c>
      <c r="C24" s="9" t="s">
        <v>26</v>
      </c>
      <c r="D24" s="9" t="s">
        <v>11</v>
      </c>
      <c r="E24" s="11">
        <v>46114.0</v>
      </c>
      <c r="F24" s="7">
        <f t="shared" si="1"/>
        <v>38</v>
      </c>
    </row>
    <row r="25" ht="22.5" customHeight="1">
      <c r="A25" s="9" t="s">
        <v>12</v>
      </c>
      <c r="B25" s="12" t="s">
        <v>35</v>
      </c>
      <c r="C25" s="9" t="s">
        <v>26</v>
      </c>
      <c r="D25" s="9" t="s">
        <v>20</v>
      </c>
      <c r="E25" s="11">
        <v>46119.0</v>
      </c>
      <c r="F25" s="7">
        <f t="shared" si="1"/>
        <v>43</v>
      </c>
    </row>
    <row r="26" ht="22.5" customHeight="1">
      <c r="A26" s="9" t="s">
        <v>14</v>
      </c>
      <c r="B26" s="12" t="s">
        <v>36</v>
      </c>
      <c r="C26" s="9" t="s">
        <v>26</v>
      </c>
      <c r="D26" s="9" t="s">
        <v>20</v>
      </c>
      <c r="E26" s="11">
        <v>46121.0</v>
      </c>
      <c r="F26" s="7">
        <f t="shared" si="1"/>
        <v>45</v>
      </c>
    </row>
    <row r="27" ht="22.5" customHeight="1">
      <c r="A27" s="9" t="s">
        <v>8</v>
      </c>
      <c r="B27" s="10" t="s">
        <v>37</v>
      </c>
      <c r="C27" s="9" t="s">
        <v>26</v>
      </c>
      <c r="D27" s="9" t="s">
        <v>11</v>
      </c>
      <c r="E27" s="11">
        <v>46127.0</v>
      </c>
      <c r="F27" s="7">
        <f t="shared" si="1"/>
        <v>51</v>
      </c>
    </row>
    <row r="28" ht="22.5" customHeight="1">
      <c r="A28" s="9" t="s">
        <v>14</v>
      </c>
      <c r="B28" s="10" t="s">
        <v>38</v>
      </c>
      <c r="C28" s="9" t="s">
        <v>26</v>
      </c>
      <c r="D28" s="9" t="s">
        <v>11</v>
      </c>
      <c r="E28" s="11">
        <v>46128.0</v>
      </c>
      <c r="F28" s="7">
        <f t="shared" si="1"/>
        <v>52</v>
      </c>
    </row>
    <row r="29" ht="22.5" customHeight="1">
      <c r="A29" s="9" t="s">
        <v>12</v>
      </c>
      <c r="B29" s="10" t="s">
        <v>39</v>
      </c>
      <c r="C29" s="9" t="s">
        <v>26</v>
      </c>
      <c r="D29" s="9" t="s">
        <v>11</v>
      </c>
      <c r="E29" s="11">
        <v>46129.0</v>
      </c>
      <c r="F29" s="7">
        <f t="shared" si="1"/>
        <v>53</v>
      </c>
    </row>
    <row r="30" ht="22.5" customHeight="1">
      <c r="A30" s="9" t="s">
        <v>12</v>
      </c>
      <c r="B30" s="10" t="s">
        <v>40</v>
      </c>
      <c r="C30" s="9" t="s">
        <v>26</v>
      </c>
      <c r="D30" s="9" t="s">
        <v>11</v>
      </c>
      <c r="E30" s="11">
        <v>46136.0</v>
      </c>
      <c r="F30" s="7">
        <f t="shared" si="1"/>
        <v>60</v>
      </c>
    </row>
    <row r="31" ht="22.5" customHeight="1">
      <c r="A31" s="9" t="s">
        <v>8</v>
      </c>
      <c r="B31" s="10" t="s">
        <v>41</v>
      </c>
      <c r="C31" s="9" t="s">
        <v>26</v>
      </c>
      <c r="D31" s="9" t="s">
        <v>11</v>
      </c>
      <c r="E31" s="11">
        <v>46139.0</v>
      </c>
      <c r="F31" s="7">
        <f t="shared" si="1"/>
        <v>63</v>
      </c>
    </row>
    <row r="32" ht="22.5" customHeight="1">
      <c r="A32" s="9" t="s">
        <v>14</v>
      </c>
      <c r="B32" s="12" t="s">
        <v>42</v>
      </c>
      <c r="C32" s="9" t="s">
        <v>26</v>
      </c>
      <c r="D32" s="9" t="s">
        <v>20</v>
      </c>
      <c r="E32" s="11">
        <v>46142.0</v>
      </c>
      <c r="F32" s="7">
        <f t="shared" si="1"/>
        <v>66</v>
      </c>
    </row>
    <row r="33" ht="22.5" customHeight="1">
      <c r="A33" s="9" t="s">
        <v>12</v>
      </c>
      <c r="B33" s="12" t="s">
        <v>43</v>
      </c>
      <c r="C33" s="9" t="s">
        <v>26</v>
      </c>
      <c r="D33" s="9" t="s">
        <v>20</v>
      </c>
      <c r="E33" s="11">
        <v>46142.0</v>
      </c>
      <c r="F33" s="7">
        <f t="shared" si="1"/>
        <v>66</v>
      </c>
    </row>
    <row r="34" ht="22.5" customHeight="1">
      <c r="A34" s="13"/>
      <c r="C34" s="14"/>
      <c r="D34" s="13"/>
      <c r="E34" s="15"/>
      <c r="F34" s="7" t="str">
        <f t="shared" si="1"/>
        <v/>
      </c>
    </row>
    <row r="35" ht="22.5" customHeight="1">
      <c r="A35" s="13"/>
      <c r="C35" s="14"/>
      <c r="D35" s="13"/>
      <c r="E35" s="15"/>
      <c r="F35" s="7" t="str">
        <f t="shared" si="1"/>
        <v/>
      </c>
    </row>
    <row r="36" ht="22.5" customHeight="1">
      <c r="A36" s="13"/>
      <c r="C36" s="14"/>
      <c r="D36" s="13"/>
      <c r="E36" s="15"/>
      <c r="F36" s="7" t="str">
        <f t="shared" si="1"/>
        <v/>
      </c>
    </row>
    <row r="37" ht="22.5" customHeight="1">
      <c r="A37" s="13"/>
      <c r="C37" s="14"/>
      <c r="D37" s="13"/>
      <c r="E37" s="15"/>
      <c r="F37" s="7" t="str">
        <f t="shared" si="1"/>
        <v/>
      </c>
    </row>
    <row r="38" ht="22.5" customHeight="1">
      <c r="A38" s="13"/>
      <c r="C38" s="14"/>
      <c r="D38" s="13"/>
      <c r="E38" s="15"/>
      <c r="F38" s="7" t="str">
        <f t="shared" si="1"/>
        <v/>
      </c>
    </row>
    <row r="39" ht="22.5" customHeight="1">
      <c r="A39" s="13"/>
      <c r="C39" s="14"/>
      <c r="D39" s="13"/>
      <c r="E39" s="15"/>
      <c r="F39" s="7" t="str">
        <f t="shared" si="1"/>
        <v/>
      </c>
    </row>
    <row r="40" ht="22.5" customHeight="1">
      <c r="A40" s="13"/>
      <c r="C40" s="14"/>
      <c r="D40" s="13"/>
      <c r="E40" s="15"/>
      <c r="F40" s="7" t="str">
        <f t="shared" si="1"/>
        <v/>
      </c>
    </row>
    <row r="41" ht="22.5" customHeight="1">
      <c r="A41" s="13"/>
      <c r="C41" s="14"/>
      <c r="D41" s="13"/>
      <c r="E41" s="15"/>
      <c r="F41" s="7" t="str">
        <f t="shared" si="1"/>
        <v/>
      </c>
    </row>
    <row r="42" ht="22.5" customHeight="1">
      <c r="A42" s="13"/>
      <c r="C42" s="14"/>
      <c r="D42" s="13"/>
      <c r="E42" s="15"/>
      <c r="F42" s="7" t="str">
        <f t="shared" si="1"/>
        <v/>
      </c>
    </row>
    <row r="43" ht="22.5" customHeight="1">
      <c r="A43" s="13"/>
      <c r="C43" s="14"/>
      <c r="D43" s="13"/>
      <c r="E43" s="15"/>
      <c r="F43" s="7" t="str">
        <f t="shared" si="1"/>
        <v/>
      </c>
    </row>
    <row r="44" ht="22.5" customHeight="1">
      <c r="A44" s="13"/>
      <c r="C44" s="14"/>
      <c r="D44" s="13"/>
      <c r="E44" s="15"/>
      <c r="F44" s="7" t="str">
        <f t="shared" si="1"/>
        <v/>
      </c>
    </row>
    <row r="45" ht="22.5" customHeight="1">
      <c r="A45" s="13"/>
      <c r="C45" s="14"/>
      <c r="D45" s="13"/>
      <c r="E45" s="15"/>
      <c r="F45" s="7" t="str">
        <f t="shared" si="1"/>
        <v/>
      </c>
    </row>
    <row r="46" ht="22.5" customHeight="1">
      <c r="A46" s="13"/>
      <c r="C46" s="14"/>
      <c r="D46" s="13"/>
      <c r="E46" s="15"/>
      <c r="F46" s="7" t="str">
        <f t="shared" si="1"/>
        <v/>
      </c>
    </row>
    <row r="47" ht="22.5" customHeight="1">
      <c r="A47" s="13"/>
      <c r="C47" s="14"/>
      <c r="D47" s="13"/>
      <c r="E47" s="15"/>
      <c r="F47" s="7" t="str">
        <f t="shared" si="1"/>
        <v/>
      </c>
    </row>
    <row r="48" ht="22.5" customHeight="1">
      <c r="A48" s="13"/>
      <c r="C48" s="14"/>
      <c r="D48" s="13"/>
      <c r="E48" s="15"/>
      <c r="F48" s="7" t="str">
        <f t="shared" si="1"/>
        <v/>
      </c>
    </row>
    <row r="49" ht="22.5" customHeight="1">
      <c r="A49" s="13"/>
      <c r="C49" s="14"/>
      <c r="D49" s="13"/>
      <c r="E49" s="15"/>
      <c r="F49" s="7" t="str">
        <f t="shared" si="1"/>
        <v/>
      </c>
    </row>
    <row r="50" ht="22.5" customHeight="1">
      <c r="A50" s="13"/>
      <c r="C50" s="14"/>
      <c r="D50" s="13"/>
      <c r="E50" s="15"/>
      <c r="F50" s="7" t="str">
        <f t="shared" si="1"/>
        <v/>
      </c>
    </row>
    <row r="51" ht="22.5" customHeight="1">
      <c r="A51" s="13"/>
      <c r="C51" s="14"/>
      <c r="D51" s="13"/>
      <c r="E51" s="15"/>
      <c r="F51" s="7" t="str">
        <f t="shared" si="1"/>
        <v/>
      </c>
    </row>
    <row r="52" ht="22.5" customHeight="1">
      <c r="A52" s="13"/>
      <c r="C52" s="14"/>
      <c r="D52" s="13"/>
      <c r="E52" s="15"/>
      <c r="F52" s="7" t="str">
        <f t="shared" si="1"/>
        <v/>
      </c>
    </row>
    <row r="53" ht="22.5" customHeight="1">
      <c r="A53" s="13"/>
      <c r="C53" s="14"/>
      <c r="D53" s="13"/>
      <c r="E53" s="15"/>
      <c r="F53" s="7" t="str">
        <f t="shared" si="1"/>
        <v/>
      </c>
    </row>
    <row r="54" ht="22.5" customHeight="1">
      <c r="A54" s="13"/>
      <c r="C54" s="14"/>
      <c r="D54" s="13"/>
      <c r="E54" s="15"/>
      <c r="F54" s="7" t="str">
        <f t="shared" si="1"/>
        <v/>
      </c>
    </row>
    <row r="55" ht="22.5" customHeight="1">
      <c r="A55" s="13"/>
      <c r="C55" s="14"/>
      <c r="D55" s="13"/>
      <c r="E55" s="15"/>
      <c r="F55" s="7" t="str">
        <f t="shared" si="1"/>
        <v/>
      </c>
    </row>
    <row r="56" ht="22.5" customHeight="1">
      <c r="A56" s="13"/>
      <c r="C56" s="14"/>
      <c r="D56" s="13"/>
      <c r="E56" s="15"/>
      <c r="F56" s="7" t="str">
        <f t="shared" si="1"/>
        <v/>
      </c>
    </row>
    <row r="57" ht="22.5" customHeight="1">
      <c r="A57" s="13"/>
      <c r="C57" s="14"/>
      <c r="D57" s="13"/>
      <c r="E57" s="15"/>
      <c r="F57" s="7" t="str">
        <f t="shared" si="1"/>
        <v/>
      </c>
    </row>
    <row r="58" ht="22.5" customHeight="1">
      <c r="A58" s="13"/>
      <c r="C58" s="14"/>
      <c r="D58" s="13"/>
      <c r="E58" s="15"/>
      <c r="F58" s="7" t="str">
        <f t="shared" si="1"/>
        <v/>
      </c>
    </row>
    <row r="59" ht="22.5" customHeight="1">
      <c r="A59" s="13"/>
      <c r="C59" s="14"/>
      <c r="D59" s="13"/>
      <c r="E59" s="15"/>
      <c r="F59" s="7" t="str">
        <f t="shared" si="1"/>
        <v/>
      </c>
    </row>
    <row r="60" ht="22.5" customHeight="1">
      <c r="A60" s="13"/>
      <c r="C60" s="14"/>
      <c r="D60" s="13"/>
      <c r="E60" s="15"/>
      <c r="F60" s="7" t="str">
        <f t="shared" si="1"/>
        <v/>
      </c>
    </row>
    <row r="61" ht="22.5" customHeight="1">
      <c r="A61" s="13"/>
      <c r="C61" s="14"/>
      <c r="D61" s="13"/>
      <c r="E61" s="15"/>
      <c r="F61" s="7" t="str">
        <f t="shared" si="1"/>
        <v/>
      </c>
    </row>
    <row r="62" ht="22.5" customHeight="1">
      <c r="A62" s="13"/>
      <c r="C62" s="14"/>
      <c r="D62" s="13"/>
      <c r="E62" s="15"/>
      <c r="F62" s="7" t="str">
        <f t="shared" si="1"/>
        <v/>
      </c>
    </row>
    <row r="63" ht="22.5" customHeight="1">
      <c r="A63" s="13"/>
      <c r="C63" s="14"/>
      <c r="D63" s="13"/>
      <c r="E63" s="15"/>
      <c r="F63" s="7" t="str">
        <f t="shared" si="1"/>
        <v/>
      </c>
    </row>
    <row r="64" ht="22.5" customHeight="1">
      <c r="A64" s="13"/>
      <c r="C64" s="14"/>
      <c r="D64" s="13"/>
      <c r="E64" s="15"/>
      <c r="F64" s="7" t="str">
        <f t="shared" si="1"/>
        <v/>
      </c>
    </row>
    <row r="65" ht="22.5" customHeight="1">
      <c r="A65" s="13"/>
      <c r="C65" s="14"/>
      <c r="D65" s="13"/>
      <c r="E65" s="15"/>
      <c r="F65" s="7" t="str">
        <f t="shared" si="1"/>
        <v/>
      </c>
    </row>
    <row r="66" ht="22.5" customHeight="1">
      <c r="A66" s="13"/>
      <c r="C66" s="14"/>
      <c r="D66" s="13"/>
      <c r="E66" s="15"/>
      <c r="F66" s="7" t="str">
        <f t="shared" si="1"/>
        <v/>
      </c>
    </row>
    <row r="67" ht="22.5" customHeight="1">
      <c r="A67" s="13"/>
      <c r="C67" s="14"/>
      <c r="D67" s="13"/>
      <c r="E67" s="15"/>
      <c r="F67" s="7" t="str">
        <f t="shared" si="1"/>
        <v/>
      </c>
    </row>
    <row r="68" ht="22.5" customHeight="1">
      <c r="A68" s="13"/>
      <c r="C68" s="14"/>
      <c r="D68" s="13"/>
      <c r="E68" s="15"/>
      <c r="F68" s="7" t="str">
        <f t="shared" si="1"/>
        <v/>
      </c>
    </row>
    <row r="69" ht="22.5" customHeight="1">
      <c r="A69" s="13"/>
      <c r="C69" s="14"/>
      <c r="D69" s="13"/>
      <c r="E69" s="15"/>
      <c r="F69" s="7" t="str">
        <f t="shared" si="1"/>
        <v/>
      </c>
    </row>
    <row r="70" ht="22.5" customHeight="1">
      <c r="A70" s="13"/>
      <c r="C70" s="14"/>
      <c r="D70" s="13"/>
      <c r="E70" s="15"/>
      <c r="F70" s="7" t="str">
        <f t="shared" si="1"/>
        <v/>
      </c>
    </row>
    <row r="71" ht="22.5" customHeight="1">
      <c r="A71" s="13"/>
      <c r="C71" s="14"/>
      <c r="D71" s="13"/>
      <c r="E71" s="15"/>
      <c r="F71" s="7" t="str">
        <f t="shared" si="1"/>
        <v/>
      </c>
    </row>
    <row r="72" ht="22.5" customHeight="1">
      <c r="A72" s="13"/>
      <c r="C72" s="14"/>
      <c r="D72" s="13"/>
      <c r="E72" s="15"/>
      <c r="F72" s="7" t="str">
        <f t="shared" si="1"/>
        <v/>
      </c>
    </row>
    <row r="73" ht="22.5" customHeight="1">
      <c r="A73" s="13"/>
      <c r="C73" s="14"/>
      <c r="D73" s="13"/>
      <c r="E73" s="15"/>
      <c r="F73" s="7" t="str">
        <f t="shared" si="1"/>
        <v/>
      </c>
    </row>
    <row r="74" ht="22.5" customHeight="1">
      <c r="A74" s="13"/>
      <c r="C74" s="14"/>
      <c r="D74" s="13"/>
      <c r="E74" s="15"/>
      <c r="F74" s="7" t="str">
        <f t="shared" si="1"/>
        <v/>
      </c>
    </row>
    <row r="75" ht="22.5" customHeight="1">
      <c r="A75" s="13"/>
      <c r="C75" s="14"/>
      <c r="D75" s="13"/>
      <c r="E75" s="15"/>
      <c r="F75" s="7" t="str">
        <f t="shared" si="1"/>
        <v/>
      </c>
    </row>
    <row r="76" ht="22.5" customHeight="1">
      <c r="A76" s="13"/>
      <c r="C76" s="14"/>
      <c r="D76" s="13"/>
      <c r="E76" s="15"/>
      <c r="F76" s="7" t="str">
        <f t="shared" si="1"/>
        <v/>
      </c>
    </row>
    <row r="77" ht="22.5" customHeight="1">
      <c r="A77" s="13"/>
      <c r="C77" s="14"/>
      <c r="D77" s="13"/>
      <c r="E77" s="15"/>
      <c r="F77" s="7" t="str">
        <f t="shared" si="1"/>
        <v/>
      </c>
    </row>
    <row r="78" ht="22.5" customHeight="1">
      <c r="A78" s="13"/>
      <c r="C78" s="14"/>
      <c r="D78" s="13"/>
      <c r="E78" s="15"/>
      <c r="F78" s="7" t="str">
        <f t="shared" si="1"/>
        <v/>
      </c>
    </row>
    <row r="79" ht="22.5" customHeight="1">
      <c r="A79" s="13"/>
      <c r="C79" s="14"/>
      <c r="D79" s="13"/>
      <c r="E79" s="15"/>
      <c r="F79" s="7" t="str">
        <f t="shared" si="1"/>
        <v/>
      </c>
    </row>
    <row r="80" ht="22.5" customHeight="1">
      <c r="A80" s="13"/>
      <c r="C80" s="14"/>
      <c r="D80" s="13"/>
      <c r="E80" s="15"/>
      <c r="F80" s="7" t="str">
        <f t="shared" si="1"/>
        <v/>
      </c>
    </row>
    <row r="81" ht="22.5" customHeight="1">
      <c r="A81" s="13"/>
      <c r="C81" s="14"/>
      <c r="D81" s="13"/>
      <c r="E81" s="15"/>
      <c r="F81" s="7" t="str">
        <f t="shared" si="1"/>
        <v/>
      </c>
    </row>
    <row r="82" ht="22.5" customHeight="1">
      <c r="A82" s="13"/>
      <c r="C82" s="14"/>
      <c r="D82" s="13"/>
      <c r="E82" s="15"/>
      <c r="F82" s="7" t="str">
        <f t="shared" si="1"/>
        <v/>
      </c>
    </row>
    <row r="83" ht="22.5" customHeight="1">
      <c r="A83" s="13"/>
      <c r="C83" s="14"/>
      <c r="D83" s="13"/>
      <c r="E83" s="15"/>
      <c r="F83" s="7" t="str">
        <f t="shared" si="1"/>
        <v/>
      </c>
    </row>
    <row r="84" ht="22.5" customHeight="1">
      <c r="A84" s="13"/>
      <c r="C84" s="14"/>
      <c r="D84" s="13"/>
      <c r="E84" s="15"/>
      <c r="F84" s="7" t="str">
        <f t="shared" si="1"/>
        <v/>
      </c>
    </row>
    <row r="85" ht="22.5" customHeight="1">
      <c r="A85" s="13"/>
      <c r="C85" s="14"/>
      <c r="D85" s="13"/>
      <c r="E85" s="15"/>
      <c r="F85" s="7" t="str">
        <f t="shared" si="1"/>
        <v/>
      </c>
    </row>
    <row r="86" ht="22.5" customHeight="1">
      <c r="A86" s="13"/>
      <c r="C86" s="14"/>
      <c r="D86" s="13"/>
      <c r="E86" s="15"/>
      <c r="F86" s="7" t="str">
        <f t="shared" si="1"/>
        <v/>
      </c>
    </row>
    <row r="87" ht="22.5" customHeight="1">
      <c r="A87" s="13"/>
      <c r="C87" s="14"/>
      <c r="D87" s="13"/>
      <c r="E87" s="15"/>
      <c r="F87" s="7" t="str">
        <f t="shared" si="1"/>
        <v/>
      </c>
    </row>
    <row r="88" ht="22.5" customHeight="1">
      <c r="A88" s="13"/>
      <c r="C88" s="14"/>
      <c r="D88" s="13"/>
      <c r="E88" s="15"/>
      <c r="F88" s="7" t="str">
        <f t="shared" si="1"/>
        <v/>
      </c>
    </row>
    <row r="89" ht="22.5" customHeight="1">
      <c r="A89" s="13"/>
      <c r="C89" s="14"/>
      <c r="D89" s="13"/>
      <c r="E89" s="15"/>
      <c r="F89" s="7" t="str">
        <f t="shared" si="1"/>
        <v/>
      </c>
    </row>
    <row r="90" ht="22.5" customHeight="1">
      <c r="A90" s="13"/>
      <c r="C90" s="14"/>
      <c r="D90" s="13"/>
      <c r="E90" s="15"/>
      <c r="F90" s="7" t="str">
        <f t="shared" si="1"/>
        <v/>
      </c>
    </row>
    <row r="91" ht="22.5" customHeight="1">
      <c r="A91" s="13"/>
      <c r="C91" s="14"/>
      <c r="D91" s="13"/>
      <c r="E91" s="15"/>
      <c r="F91" s="7" t="str">
        <f t="shared" si="1"/>
        <v/>
      </c>
    </row>
    <row r="92" ht="22.5" customHeight="1">
      <c r="A92" s="13"/>
      <c r="C92" s="14"/>
      <c r="D92" s="13"/>
      <c r="E92" s="15"/>
      <c r="F92" s="7" t="str">
        <f t="shared" si="1"/>
        <v/>
      </c>
    </row>
    <row r="93" ht="22.5" customHeight="1">
      <c r="A93" s="13"/>
      <c r="C93" s="14"/>
      <c r="D93" s="13"/>
      <c r="E93" s="15"/>
      <c r="F93" s="7" t="str">
        <f t="shared" si="1"/>
        <v/>
      </c>
    </row>
    <row r="94" ht="22.5" customHeight="1">
      <c r="A94" s="13"/>
      <c r="C94" s="14"/>
      <c r="D94" s="13"/>
      <c r="E94" s="15"/>
      <c r="F94" s="7" t="str">
        <f t="shared" si="1"/>
        <v/>
      </c>
    </row>
    <row r="95" ht="22.5" customHeight="1">
      <c r="A95" s="13"/>
      <c r="C95" s="14"/>
      <c r="D95" s="13"/>
      <c r="E95" s="15"/>
      <c r="F95" s="7" t="str">
        <f t="shared" si="1"/>
        <v/>
      </c>
    </row>
    <row r="96" ht="22.5" customHeight="1">
      <c r="A96" s="13"/>
      <c r="C96" s="14"/>
      <c r="D96" s="13"/>
      <c r="E96" s="15"/>
      <c r="F96" s="7" t="str">
        <f t="shared" si="1"/>
        <v/>
      </c>
    </row>
    <row r="97" ht="22.5" customHeight="1">
      <c r="A97" s="13"/>
      <c r="C97" s="14"/>
      <c r="D97" s="13"/>
      <c r="E97" s="15"/>
      <c r="F97" s="7" t="str">
        <f t="shared" si="1"/>
        <v/>
      </c>
    </row>
    <row r="98" ht="22.5" customHeight="1">
      <c r="A98" s="13"/>
      <c r="C98" s="14"/>
      <c r="D98" s="13"/>
      <c r="E98" s="15"/>
      <c r="F98" s="7" t="str">
        <f t="shared" si="1"/>
        <v/>
      </c>
    </row>
    <row r="99" ht="22.5" customHeight="1">
      <c r="A99" s="13"/>
      <c r="C99" s="14"/>
      <c r="D99" s="13"/>
      <c r="E99" s="15"/>
      <c r="F99" s="7" t="str">
        <f t="shared" si="1"/>
        <v/>
      </c>
    </row>
    <row r="100" ht="22.5" customHeight="1">
      <c r="A100" s="13"/>
      <c r="C100" s="14"/>
      <c r="D100" s="13"/>
      <c r="E100" s="15"/>
      <c r="F100" s="7" t="str">
        <f t="shared" si="1"/>
        <v/>
      </c>
    </row>
    <row r="101" ht="22.5" customHeight="1">
      <c r="A101" s="13"/>
      <c r="C101" s="14"/>
      <c r="D101" s="13"/>
      <c r="E101" s="15"/>
      <c r="F101" s="7" t="str">
        <f t="shared" si="1"/>
        <v/>
      </c>
    </row>
    <row r="102">
      <c r="F102" s="16"/>
    </row>
    <row r="103">
      <c r="D103" s="17"/>
      <c r="E103" s="17"/>
      <c r="F103" s="16"/>
    </row>
    <row r="104">
      <c r="D104" s="17"/>
      <c r="E104" s="17"/>
      <c r="F104" s="16"/>
    </row>
    <row r="105">
      <c r="D105" s="17"/>
      <c r="E105" s="17"/>
      <c r="F105" s="16"/>
    </row>
    <row r="106">
      <c r="D106" s="17"/>
      <c r="E106" s="17"/>
      <c r="F106" s="16"/>
    </row>
    <row r="107">
      <c r="D107" s="17"/>
      <c r="E107" s="17"/>
      <c r="F107" s="16"/>
    </row>
    <row r="108">
      <c r="D108" s="17"/>
      <c r="E108" s="17"/>
      <c r="F108" s="16"/>
    </row>
    <row r="109">
      <c r="D109" s="17"/>
      <c r="E109" s="17"/>
      <c r="F109" s="16"/>
    </row>
    <row r="110">
      <c r="D110" s="17"/>
      <c r="E110" s="17"/>
      <c r="F110" s="16"/>
    </row>
    <row r="111">
      <c r="D111" s="17"/>
      <c r="E111" s="17"/>
      <c r="F111" s="16"/>
    </row>
    <row r="112">
      <c r="D112" s="17"/>
      <c r="E112" s="17"/>
      <c r="F112" s="16"/>
    </row>
    <row r="113">
      <c r="D113" s="17"/>
      <c r="E113" s="17"/>
      <c r="F113" s="16"/>
    </row>
    <row r="114">
      <c r="D114" s="17"/>
      <c r="E114" s="17"/>
      <c r="F114" s="16"/>
    </row>
    <row r="115">
      <c r="D115" s="17"/>
      <c r="E115" s="17"/>
      <c r="F115" s="16"/>
    </row>
  </sheetData>
  <mergeCells count="2">
    <mergeCell ref="A1:B1"/>
    <mergeCell ref="C1:D1"/>
  </mergeCells>
  <conditionalFormatting sqref="F4:F101">
    <cfRule type="cellIs" dxfId="5" priority="1" operator="between">
      <formula>1</formula>
      <formula>3</formula>
    </cfRule>
  </conditionalFormatting>
  <conditionalFormatting sqref="F4:F101">
    <cfRule type="cellIs" dxfId="6" priority="2" operator="between">
      <formula>4</formula>
      <formula>7</formula>
    </cfRule>
  </conditionalFormatting>
  <conditionalFormatting sqref="F4:F101">
    <cfRule type="cellIs" dxfId="7" priority="3" operator="equal">
      <formula>"Complete"</formula>
    </cfRule>
  </conditionalFormatting>
  <conditionalFormatting sqref="F4:F101">
    <cfRule type="cellIs" dxfId="8" priority="4" operator="equal">
      <formula>"Overdue"</formula>
    </cfRule>
  </conditionalFormatting>
  <conditionalFormatting sqref="F4:F101">
    <cfRule type="cellIs" dxfId="9" priority="5" operator="equal">
      <formula>"DUE TODAY"</formula>
    </cfRule>
  </conditionalFormatting>
  <dataValidations>
    <dataValidation type="list" allowBlank="1" showErrorMessage="1" sqref="C4:C101">
      <formula1>"Not Started,Started,Complete,Need Help"</formula1>
    </dataValidation>
    <dataValidation type="list" allowBlank="1" sqref="A4:A101">
      <formula1>"Info System Analysis and Design,Organizational Behavior &amp; Theory,Statistics &amp; Quantitative Methods,Business Intelligence,Data Analytics/Visualization"</formula1>
    </dataValidation>
    <dataValidation type="custom" allowBlank="1" showDropDown="1" sqref="E4:E101">
      <formula1>OR(NOT(ISERROR(DATEVALUE(E4))), AND(ISNUMBER(E4), LEFT(CELL("format", E4))="D"))</formula1>
    </dataValidation>
    <dataValidation type="list" allowBlank="1" sqref="D4:D101">
      <formula1>"Low,High"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44</v>
      </c>
    </row>
    <row r="2">
      <c r="A2" s="19" t="s">
        <v>26</v>
      </c>
      <c r="B2" s="20">
        <f>COUNTIF(Tracker!C:C,"Not Started")</f>
        <v>18</v>
      </c>
    </row>
    <row r="3">
      <c r="A3" s="19" t="s">
        <v>45</v>
      </c>
      <c r="B3" s="20">
        <f>COUNTIF(Tracker!C:C,"Started")</f>
        <v>0</v>
      </c>
    </row>
    <row r="4">
      <c r="A4" s="19" t="s">
        <v>10</v>
      </c>
      <c r="B4" s="20">
        <f>COUNTIF(Tracker!C:C,"Complete")</f>
        <v>12</v>
      </c>
    </row>
    <row r="5">
      <c r="A5" s="19" t="s">
        <v>46</v>
      </c>
      <c r="B5" s="20">
        <f>COUNTIF(Tracker!C:C,"Need Help")</f>
        <v>0</v>
      </c>
    </row>
    <row r="7">
      <c r="A7" s="18" t="s">
        <v>47</v>
      </c>
    </row>
    <row r="8">
      <c r="A8" s="19" t="s">
        <v>11</v>
      </c>
      <c r="B8" s="20">
        <f>COUNTIF(Tracker!D:D,"Low")</f>
        <v>22</v>
      </c>
    </row>
    <row r="9">
      <c r="A9" s="19" t="s">
        <v>20</v>
      </c>
      <c r="B9" s="20">
        <f>COUNTIF(Tracker!D:D,"High")</f>
        <v>8</v>
      </c>
    </row>
  </sheetData>
  <mergeCells count="2">
    <mergeCell ref="A1:B1"/>
    <mergeCell ref="A7:B7"/>
  </mergeCells>
  <drawing r:id="rId1"/>
</worksheet>
</file>